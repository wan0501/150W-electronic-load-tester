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049" windowHeight="15269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<sst xmlns="http://schemas.openxmlformats.org/spreadsheetml/2006/main" count="85" uniqueCount="72">
  <si>
    <t>DAC最小分辨率（LSB ）</t>
  </si>
  <si>
    <t>参考电压（Vref）</t>
  </si>
  <si>
    <t>DAC位数（bit）</t>
  </si>
  <si>
    <t>LSB（mv）</t>
  </si>
  <si>
    <t>LSB（uv）</t>
  </si>
  <si>
    <t>LSB（nv）</t>
  </si>
  <si>
    <t>开环控制_恒压值设置_分析</t>
  </si>
  <si>
    <t>开环控制_恒流值设置_分析</t>
  </si>
  <si>
    <t>DAC_OUT1数值</t>
  </si>
  <si>
    <t>DAC参考电压(V)</t>
  </si>
  <si>
    <t>DAC_OUT1输出电压(V)</t>
  </si>
  <si>
    <t>反馈放大倍数</t>
  </si>
  <si>
    <t>理论恒压值</t>
  </si>
  <si>
    <t>实际恒压值</t>
  </si>
  <si>
    <t>偏差</t>
  </si>
  <si>
    <t>x</t>
  </si>
  <si>
    <t>y</t>
  </si>
  <si>
    <t>DAC_OUT2数值</t>
  </si>
  <si>
    <t>DAC_OUT2输出电压(V)</t>
  </si>
  <si>
    <t>电流检测电阻(mR)</t>
  </si>
  <si>
    <t>反馈放大基准电压(V)</t>
  </si>
  <si>
    <t>理论恒流值</t>
  </si>
  <si>
    <t>实际恒流值</t>
  </si>
  <si>
    <t>偏差(%)</t>
  </si>
  <si>
    <t>引脚</t>
  </si>
  <si>
    <t>属性</t>
  </si>
  <si>
    <t>模式</t>
  </si>
  <si>
    <t>PA1</t>
  </si>
  <si>
    <t>恒流电压采样</t>
  </si>
  <si>
    <t>ADC1_in1</t>
  </si>
  <si>
    <t>PA2</t>
  </si>
  <si>
    <t>恒压电压采样</t>
  </si>
  <si>
    <t>ADC1_in2</t>
  </si>
  <si>
    <t>PA3</t>
  </si>
  <si>
    <t>恒压电压开关</t>
  </si>
  <si>
    <t>推挽输出</t>
  </si>
  <si>
    <t>PA4</t>
  </si>
  <si>
    <t>恒压源DAC输出</t>
  </si>
  <si>
    <t>DAC_OUT1</t>
  </si>
  <si>
    <t>PA5</t>
  </si>
  <si>
    <t>恒流源DAC输出</t>
  </si>
  <si>
    <t>DAC_OUT2</t>
  </si>
  <si>
    <t>PA6</t>
  </si>
  <si>
    <t>热敏电阻电压采样</t>
  </si>
  <si>
    <t>ADC1_in6</t>
  </si>
  <si>
    <t>PA9</t>
  </si>
  <si>
    <t>串口1TX</t>
  </si>
  <si>
    <t>USART1_TX</t>
  </si>
  <si>
    <t>PA10</t>
  </si>
  <si>
    <t>串口1RX</t>
  </si>
  <si>
    <t>USART1_RX</t>
  </si>
  <si>
    <t>PA15</t>
  </si>
  <si>
    <t>LED,低电平亮</t>
  </si>
  <si>
    <t>PB0</t>
  </si>
  <si>
    <t>TFT-BL</t>
  </si>
  <si>
    <t>PB1</t>
  </si>
  <si>
    <t>TFT-RST</t>
  </si>
  <si>
    <t>PB2</t>
  </si>
  <si>
    <t>TFT-DC</t>
  </si>
  <si>
    <t>PB12</t>
  </si>
  <si>
    <t>TFT-CS</t>
  </si>
  <si>
    <t>PB13</t>
  </si>
  <si>
    <t>TFT-SCLK</t>
  </si>
  <si>
    <t>PB15</t>
  </si>
  <si>
    <t>TFT-SDA</t>
  </si>
  <si>
    <t>PC13</t>
  </si>
  <si>
    <t>SW3</t>
  </si>
  <si>
    <t>输入模式</t>
  </si>
  <si>
    <t>PC14</t>
  </si>
  <si>
    <t>SW2</t>
  </si>
  <si>
    <t>PC15</t>
  </si>
  <si>
    <t>SW1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</si>
</sst>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&quot;mv&quot;"/>
    <numFmt numFmtId="177" formatCode="0.000000&quot;v&quot;"/>
    <numFmt numFmtId="178" formatCode="0.000000&quot;mv&quot;"/>
    <numFmt numFmtId="179" formatCode="0.00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0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1" borderId="8" applyNumberFormat="0" applyAlignment="0" applyProtection="0">
      <alignment vertical="center"/>
    </xf>
    <xf numFmtId="0" fontId="13" fillId="22" borderId="9" applyNumberFormat="0" applyAlignment="0" applyProtection="0">
      <alignment vertical="center"/>
    </xf>
    <xf numFmtId="0" fontId="14" fillId="22" borderId="8" applyNumberFormat="0" applyAlignment="0" applyProtection="0">
      <alignment vertical="center"/>
    </xf>
    <xf numFmtId="0" fontId="15" fillId="23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1" fillId="46" borderId="0" applyNumberFormat="0" applyBorder="0" applyAlignment="0" applyProtection="0">
      <alignment vertical="center"/>
    </xf>
    <xf numFmtId="0" fontId="21" fillId="4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1" fillId="50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176" fontId="0" fillId="14" borderId="4" xfId="0" applyNumberForma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77" fontId="0" fillId="14" borderId="4" xfId="0" applyNumberFormat="1" applyFill="1" applyBorder="1" applyAlignment="1">
      <alignment horizontal="center" vertical="center"/>
    </xf>
    <xf numFmtId="10" fontId="0" fillId="14" borderId="4" xfId="0" applyNumberFormat="1" applyFill="1" applyBorder="1" applyAlignment="1">
      <alignment horizontal="center" vertical="center"/>
    </xf>
    <xf numFmtId="2" fontId="0" fillId="0" borderId="0" xfId="0" applyNumberFormat="1">
      <alignment vertical="center"/>
    </xf>
    <xf numFmtId="0" fontId="2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178" fontId="2" fillId="0" borderId="4" xfId="0" applyNumberFormat="1" applyFont="1" applyFill="1" applyBorder="1" applyAlignment="1">
      <alignment horizontal="center" vertical="center"/>
    </xf>
    <xf numFmtId="179" fontId="0" fillId="0" borderId="0" xfId="0" applyNumberFormat="1">
      <alignment vertical="center"/>
    </xf>
    <xf numFmtId="178" fontId="0" fillId="14" borderId="4" xfId="0" applyNumberFormat="1" applyFill="1" applyBorder="1" applyAlignment="1">
      <alignment horizontal="center" vertical="center"/>
    </xf>
    <xf numFmtId="0" fontId="0" fillId="15" borderId="0" xfId="0" applyFill="1">
      <alignment vertical="center"/>
    </xf>
    <xf numFmtId="0" fontId="0" fillId="16" borderId="0" xfId="0" applyFill="1">
      <alignment vertical="center"/>
    </xf>
    <xf numFmtId="0" fontId="0" fillId="2" borderId="0" xfId="0" applyFill="1">
      <alignment vertical="center"/>
    </xf>
    <xf numFmtId="0" fontId="0" fillId="17" borderId="0" xfId="0" applyFill="1">
      <alignment vertical="center"/>
    </xf>
    <xf numFmtId="0" fontId="0" fillId="18" borderId="0" xfId="0" applyFill="1">
      <alignment vertical="center"/>
    </xf>
    <xf numFmtId="0" fontId="0" fillId="19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199251714820204"/>
          <c:y val="0.160871826238459"/>
          <c:w val="0.816666666666667"/>
          <c:h val="0.608246947707901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53086293270567"/>
                  <c:y val="0.033786136138246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Sheet1!$Q$8:$Q$19</c:f>
              <c:numCache>
                <c:formatCode>General</c:formatCode>
                <c:ptCount val="12"/>
                <c:pt idx="0">
                  <c:v>0.114921875</c:v>
                </c:pt>
                <c:pt idx="1">
                  <c:v>0.3169482421875</c:v>
                </c:pt>
                <c:pt idx="2">
                  <c:v>0.518974609375</c:v>
                </c:pt>
                <c:pt idx="3">
                  <c:v>0.7210009765625</c:v>
                </c:pt>
                <c:pt idx="4">
                  <c:v>0.92302734375</c:v>
                </c:pt>
                <c:pt idx="5">
                  <c:v>1.1250537109375</c:v>
                </c:pt>
                <c:pt idx="6">
                  <c:v>1.327080078125</c:v>
                </c:pt>
                <c:pt idx="7">
                  <c:v>1.5291064453125</c:v>
                </c:pt>
                <c:pt idx="8">
                  <c:v>1.7311328125</c:v>
                </c:pt>
                <c:pt idx="9">
                  <c:v>1.9331591796875</c:v>
                </c:pt>
                <c:pt idx="10">
                  <c:v>2.135185546875</c:v>
                </c:pt>
                <c:pt idx="11">
                  <c:v>2.3372119140625</c:v>
                </c:pt>
              </c:numCache>
            </c:numRef>
          </c:xVal>
          <c:yVal>
            <c:numRef>
              <c:f>Sheet1!$R$8:$R$19</c:f>
              <c:numCache>
                <c:formatCode>0.000000"v"</c:formatCode>
                <c:ptCount val="12"/>
                <c:pt idx="0">
                  <c:v>0.12</c:v>
                </c:pt>
                <c:pt idx="1">
                  <c:v>0.32</c:v>
                </c:pt>
                <c:pt idx="2">
                  <c:v>0.51</c:v>
                </c:pt>
                <c:pt idx="3">
                  <c:v>0.71</c:v>
                </c:pt>
                <c:pt idx="4">
                  <c:v>0.91</c:v>
                </c:pt>
                <c:pt idx="5">
                  <c:v>1.1</c:v>
                </c:pt>
                <c:pt idx="6">
                  <c:v>1.3</c:v>
                </c:pt>
                <c:pt idx="7">
                  <c:v>1.5</c:v>
                </c:pt>
                <c:pt idx="8">
                  <c:v>1.69</c:v>
                </c:pt>
                <c:pt idx="9">
                  <c:v>1.89</c:v>
                </c:pt>
                <c:pt idx="10">
                  <c:v>2.09</c:v>
                </c:pt>
                <c:pt idx="11">
                  <c:v>2.29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5843243"/>
        <c:axId val="110649052"/>
      </c:scatterChart>
      <c:valAx>
        <c:axId val="6258432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0649052"/>
        <c:crosses val="autoZero"/>
        <c:crossBetween val="midCat"/>
      </c:valAx>
      <c:valAx>
        <c:axId val="1106490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000&quot;v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5843243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851aa3d-ecfc-40be-b7ce-191270d7fb3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Sheet1!$K$8:$K$33</c:f>
              <c:numCache>
                <c:formatCode>General</c:formatCode>
                <c:ptCount val="26"/>
                <c:pt idx="0">
                  <c:v>1600</c:v>
                </c:pt>
                <c:pt idx="1">
                  <c:v>1700</c:v>
                </c:pt>
                <c:pt idx="2">
                  <c:v>1800</c:v>
                </c:pt>
                <c:pt idx="3">
                  <c:v>1900</c:v>
                </c:pt>
                <c:pt idx="4">
                  <c:v>2000</c:v>
                </c:pt>
                <c:pt idx="5">
                  <c:v>2100</c:v>
                </c:pt>
                <c:pt idx="6">
                  <c:v>2200</c:v>
                </c:pt>
                <c:pt idx="7">
                  <c:v>2300</c:v>
                </c:pt>
                <c:pt idx="8">
                  <c:v>2400</c:v>
                </c:pt>
                <c:pt idx="9">
                  <c:v>2500</c:v>
                </c:pt>
                <c:pt idx="10">
                  <c:v>2600</c:v>
                </c:pt>
                <c:pt idx="11">
                  <c:v>2700</c:v>
                </c:pt>
                <c:pt idx="12">
                  <c:v>2800</c:v>
                </c:pt>
                <c:pt idx="13">
                  <c:v>2900</c:v>
                </c:pt>
                <c:pt idx="14">
                  <c:v>3000</c:v>
                </c:pt>
                <c:pt idx="15">
                  <c:v>3100</c:v>
                </c:pt>
                <c:pt idx="16">
                  <c:v>3200</c:v>
                </c:pt>
                <c:pt idx="17">
                  <c:v>3300</c:v>
                </c:pt>
                <c:pt idx="18">
                  <c:v>3400</c:v>
                </c:pt>
                <c:pt idx="19">
                  <c:v>3500</c:v>
                </c:pt>
                <c:pt idx="20">
                  <c:v>3600</c:v>
                </c:pt>
                <c:pt idx="21">
                  <c:v>3700</c:v>
                </c:pt>
                <c:pt idx="22">
                  <c:v>3800</c:v>
                </c:pt>
                <c:pt idx="23">
                  <c:v>3900</c:v>
                </c:pt>
                <c:pt idx="24">
                  <c:v>4000</c:v>
                </c:pt>
                <c:pt idx="25">
                  <c:v>4095</c:v>
                </c:pt>
              </c:numCache>
            </c:numRef>
          </c:xVal>
          <c:yVal>
            <c:numRef>
              <c:f>Sheet1!$Q$8:$Q$33</c:f>
              <c:numCache>
                <c:formatCode>General</c:formatCode>
                <c:ptCount val="26"/>
                <c:pt idx="0">
                  <c:v>0.114921875</c:v>
                </c:pt>
                <c:pt idx="1">
                  <c:v>0.3169482421875</c:v>
                </c:pt>
                <c:pt idx="2">
                  <c:v>0.518974609375</c:v>
                </c:pt>
                <c:pt idx="3">
                  <c:v>0.7210009765625</c:v>
                </c:pt>
                <c:pt idx="4">
                  <c:v>0.92302734375</c:v>
                </c:pt>
                <c:pt idx="5">
                  <c:v>1.1250537109375</c:v>
                </c:pt>
                <c:pt idx="6">
                  <c:v>1.327080078125</c:v>
                </c:pt>
                <c:pt idx="7">
                  <c:v>1.5291064453125</c:v>
                </c:pt>
                <c:pt idx="8">
                  <c:v>1.7311328125</c:v>
                </c:pt>
                <c:pt idx="9">
                  <c:v>1.9331591796875</c:v>
                </c:pt>
                <c:pt idx="10">
                  <c:v>2.135185546875</c:v>
                </c:pt>
                <c:pt idx="11">
                  <c:v>2.3372119140625</c:v>
                </c:pt>
                <c:pt idx="12">
                  <c:v>2.53923828125</c:v>
                </c:pt>
                <c:pt idx="13">
                  <c:v>2.7412646484375</c:v>
                </c:pt>
                <c:pt idx="14">
                  <c:v>2.943291015625</c:v>
                </c:pt>
                <c:pt idx="15">
                  <c:v>3.1453173828125</c:v>
                </c:pt>
                <c:pt idx="16">
                  <c:v>3.34734375</c:v>
                </c:pt>
                <c:pt idx="17">
                  <c:v>3.5493701171875</c:v>
                </c:pt>
                <c:pt idx="18">
                  <c:v>3.751396484375</c:v>
                </c:pt>
                <c:pt idx="19">
                  <c:v>3.9534228515625</c:v>
                </c:pt>
                <c:pt idx="20">
                  <c:v>4.15544921875</c:v>
                </c:pt>
                <c:pt idx="21">
                  <c:v>4.3574755859375</c:v>
                </c:pt>
                <c:pt idx="22">
                  <c:v>4.559501953125</c:v>
                </c:pt>
                <c:pt idx="23">
                  <c:v>4.7615283203125</c:v>
                </c:pt>
                <c:pt idx="24">
                  <c:v>4.9635546875</c:v>
                </c:pt>
                <c:pt idx="25">
                  <c:v>5.15547973632813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109484"/>
        <c:axId val="182627154"/>
      </c:scatterChart>
      <c:valAx>
        <c:axId val="1331094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2627154"/>
        <c:crosses val="autoZero"/>
        <c:crossBetween val="midCat"/>
      </c:valAx>
      <c:valAx>
        <c:axId val="18262715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3109484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5b883f5-f9e4-416f-9aa3-570c7bd8a4d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Sheet1!$V$8:$V$16</c:f>
              <c:numCache>
                <c:formatCode>General</c:formatCode>
                <c:ptCount val="9"/>
                <c:pt idx="0">
                  <c:v>0.12</c:v>
                </c:pt>
                <c:pt idx="1">
                  <c:v>0.32</c:v>
                </c:pt>
                <c:pt idx="2">
                  <c:v>0.53</c:v>
                </c:pt>
                <c:pt idx="3">
                  <c:v>0.74</c:v>
                </c:pt>
                <c:pt idx="4">
                  <c:v>0.95</c:v>
                </c:pt>
                <c:pt idx="5">
                  <c:v>1.16</c:v>
                </c:pt>
                <c:pt idx="6">
                  <c:v>1.36</c:v>
                </c:pt>
                <c:pt idx="7">
                  <c:v>1.57</c:v>
                </c:pt>
                <c:pt idx="8">
                  <c:v>1.78</c:v>
                </c:pt>
              </c:numCache>
            </c:numRef>
          </c:xVal>
          <c:yVal>
            <c:numRef>
              <c:f>Sheet1!$W$8:$W$16</c:f>
              <c:numCache>
                <c:formatCode>General</c:formatCode>
                <c:ptCount val="9"/>
                <c:pt idx="0">
                  <c:v>0.11</c:v>
                </c:pt>
                <c:pt idx="1">
                  <c:v>0.32</c:v>
                </c:pt>
                <c:pt idx="2">
                  <c:v>0.52</c:v>
                </c:pt>
                <c:pt idx="3">
                  <c:v>0.72</c:v>
                </c:pt>
                <c:pt idx="4">
                  <c:v>0.92</c:v>
                </c:pt>
                <c:pt idx="5">
                  <c:v>1.13</c:v>
                </c:pt>
                <c:pt idx="6">
                  <c:v>1.33</c:v>
                </c:pt>
                <c:pt idx="7">
                  <c:v>1.53</c:v>
                </c:pt>
                <c:pt idx="8">
                  <c:v>1.73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8608936"/>
        <c:axId val="254071912"/>
      </c:scatterChart>
      <c:valAx>
        <c:axId val="708608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4071912"/>
        <c:crosses val="autoZero"/>
        <c:crossBetween val="midCat"/>
      </c:valAx>
      <c:valAx>
        <c:axId val="254071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8608936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9596472-6f69-457b-9329-50e0abd542c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V</a:t>
            </a:r>
            <a:r>
              <a:rPr altLang="en-US"/>
              <a:t>理</a:t>
            </a:r>
            <a:r>
              <a:rPr lang="en-US" altLang="zh-CN"/>
              <a:t>-V</a:t>
            </a:r>
            <a:r>
              <a:rPr altLang="en-US"/>
              <a:t>实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Sheet1!$H$7:$H$24</c:f>
              <c:numCache>
                <c:formatCode>General</c:formatCode>
                <c:ptCount val="18"/>
                <c:pt idx="0">
                  <c:v>0.45</c:v>
                </c:pt>
                <c:pt idx="1">
                  <c:v>1.34</c:v>
                </c:pt>
                <c:pt idx="2">
                  <c:v>2.23</c:v>
                </c:pt>
                <c:pt idx="3">
                  <c:v>3.12</c:v>
                </c:pt>
                <c:pt idx="4">
                  <c:v>4.01</c:v>
                </c:pt>
                <c:pt idx="5">
                  <c:v>4.91</c:v>
                </c:pt>
                <c:pt idx="6">
                  <c:v>5.8</c:v>
                </c:pt>
                <c:pt idx="7">
                  <c:v>6.69</c:v>
                </c:pt>
                <c:pt idx="8">
                  <c:v>7.58</c:v>
                </c:pt>
                <c:pt idx="9">
                  <c:v>8.48</c:v>
                </c:pt>
                <c:pt idx="10">
                  <c:v>9.36</c:v>
                </c:pt>
                <c:pt idx="11">
                  <c:v>10.26</c:v>
                </c:pt>
                <c:pt idx="12">
                  <c:v>11.15</c:v>
                </c:pt>
                <c:pt idx="13">
                  <c:v>12.04</c:v>
                </c:pt>
                <c:pt idx="14">
                  <c:v>12.93</c:v>
                </c:pt>
                <c:pt idx="15">
                  <c:v>13.82</c:v>
                </c:pt>
                <c:pt idx="16">
                  <c:v>14.71</c:v>
                </c:pt>
                <c:pt idx="17">
                  <c:v>15.6</c:v>
                </c:pt>
              </c:numCache>
            </c:numRef>
          </c:xVal>
          <c:yVal>
            <c:numRef>
              <c:f>Sheet1!$I$7:$I$24</c:f>
              <c:numCache>
                <c:formatCode>0.00</c:formatCode>
                <c:ptCount val="18"/>
                <c:pt idx="0">
                  <c:v>0.4444580078125</c:v>
                </c:pt>
                <c:pt idx="1">
                  <c:v>1.3333740234375</c:v>
                </c:pt>
                <c:pt idx="2">
                  <c:v>2.2222900390625</c:v>
                </c:pt>
                <c:pt idx="3">
                  <c:v>3.1112060546875</c:v>
                </c:pt>
                <c:pt idx="4">
                  <c:v>4.0001220703125</c:v>
                </c:pt>
                <c:pt idx="5">
                  <c:v>4.8890380859375</c:v>
                </c:pt>
                <c:pt idx="6">
                  <c:v>5.7779541015625</c:v>
                </c:pt>
                <c:pt idx="7">
                  <c:v>6.6668701171875</c:v>
                </c:pt>
                <c:pt idx="8">
                  <c:v>7.5557861328125</c:v>
                </c:pt>
                <c:pt idx="9">
                  <c:v>8.4447021484375</c:v>
                </c:pt>
                <c:pt idx="10">
                  <c:v>9.3336181640625</c:v>
                </c:pt>
                <c:pt idx="11">
                  <c:v>10.2225341796875</c:v>
                </c:pt>
                <c:pt idx="12">
                  <c:v>11.1114501953125</c:v>
                </c:pt>
                <c:pt idx="13">
                  <c:v>12.0003662109375</c:v>
                </c:pt>
                <c:pt idx="14">
                  <c:v>12.8892822265625</c:v>
                </c:pt>
                <c:pt idx="15">
                  <c:v>13.7781982421875</c:v>
                </c:pt>
                <c:pt idx="16">
                  <c:v>14.6671142578125</c:v>
                </c:pt>
                <c:pt idx="17">
                  <c:v>15.5560302734375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7088735"/>
        <c:axId val="758668160"/>
      </c:scatterChart>
      <c:valAx>
        <c:axId val="237088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8668160"/>
        <c:crosses val="autoZero"/>
        <c:crossBetween val="midCat"/>
      </c:valAx>
      <c:valAx>
        <c:axId val="75866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7088735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V</a:t>
            </a:r>
            <a:r>
              <a:rPr altLang="en-US"/>
              <a:t>理</a:t>
            </a:r>
            <a:r>
              <a:rPr lang="en-US" altLang="zh-CN"/>
              <a:t>-DAC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02945817990531"/>
          <c:y val="0.178155565905915"/>
          <c:w val="0.874197790636507"/>
          <c:h val="0.603260363297625"/>
        </c:manualLayout>
      </c:layout>
      <c:scatterChart>
        <c:scatterStyle val="smooth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Sheet1!$H$26:$H$43</c:f>
              <c:numCache>
                <c:formatCode>General</c:formatCode>
                <c:ptCount val="18"/>
                <c:pt idx="0">
                  <c:v>50</c:v>
                </c:pt>
                <c:pt idx="1">
                  <c:v>150</c:v>
                </c:pt>
                <c:pt idx="2">
                  <c:v>250</c:v>
                </c:pt>
                <c:pt idx="3">
                  <c:v>350</c:v>
                </c:pt>
                <c:pt idx="4">
                  <c:v>450</c:v>
                </c:pt>
                <c:pt idx="5">
                  <c:v>550</c:v>
                </c:pt>
                <c:pt idx="6">
                  <c:v>650</c:v>
                </c:pt>
                <c:pt idx="7">
                  <c:v>750</c:v>
                </c:pt>
                <c:pt idx="8">
                  <c:v>850</c:v>
                </c:pt>
                <c:pt idx="9">
                  <c:v>950</c:v>
                </c:pt>
                <c:pt idx="10">
                  <c:v>1050</c:v>
                </c:pt>
                <c:pt idx="11">
                  <c:v>1150</c:v>
                </c:pt>
                <c:pt idx="12">
                  <c:v>1250</c:v>
                </c:pt>
                <c:pt idx="13">
                  <c:v>1350</c:v>
                </c:pt>
                <c:pt idx="14">
                  <c:v>1450</c:v>
                </c:pt>
                <c:pt idx="15">
                  <c:v>1550</c:v>
                </c:pt>
                <c:pt idx="16">
                  <c:v>1650</c:v>
                </c:pt>
                <c:pt idx="17">
                  <c:v>1750</c:v>
                </c:pt>
              </c:numCache>
            </c:numRef>
          </c:xVal>
          <c:yVal>
            <c:numRef>
              <c:f>Sheet1!$I$26:$I$43</c:f>
              <c:numCache>
                <c:formatCode>0.00</c:formatCode>
                <c:ptCount val="18"/>
                <c:pt idx="0">
                  <c:v>0.4444580078125</c:v>
                </c:pt>
                <c:pt idx="1">
                  <c:v>1.3333740234375</c:v>
                </c:pt>
                <c:pt idx="2">
                  <c:v>2.2222900390625</c:v>
                </c:pt>
                <c:pt idx="3">
                  <c:v>3.1112060546875</c:v>
                </c:pt>
                <c:pt idx="4">
                  <c:v>4.0001220703125</c:v>
                </c:pt>
                <c:pt idx="5">
                  <c:v>4.8890380859375</c:v>
                </c:pt>
                <c:pt idx="6">
                  <c:v>5.7779541015625</c:v>
                </c:pt>
                <c:pt idx="7">
                  <c:v>6.6668701171875</c:v>
                </c:pt>
                <c:pt idx="8">
                  <c:v>7.5557861328125</c:v>
                </c:pt>
                <c:pt idx="9">
                  <c:v>8.4447021484375</c:v>
                </c:pt>
                <c:pt idx="10">
                  <c:v>9.3336181640625</c:v>
                </c:pt>
                <c:pt idx="11">
                  <c:v>10.2225341796875</c:v>
                </c:pt>
                <c:pt idx="12">
                  <c:v>11.1114501953125</c:v>
                </c:pt>
                <c:pt idx="13">
                  <c:v>12.0003662109375</c:v>
                </c:pt>
                <c:pt idx="14">
                  <c:v>12.8892822265625</c:v>
                </c:pt>
                <c:pt idx="15">
                  <c:v>13.7781982421875</c:v>
                </c:pt>
                <c:pt idx="16">
                  <c:v>14.6671142578125</c:v>
                </c:pt>
                <c:pt idx="17">
                  <c:v>15.5560302734375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5397942"/>
        <c:axId val="800079936"/>
      </c:scatterChart>
      <c:valAx>
        <c:axId val="53539794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0079936"/>
        <c:crosses val="autoZero"/>
        <c:crossBetween val="midCat"/>
      </c:valAx>
      <c:valAx>
        <c:axId val="80007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5397942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16</xdr:col>
      <xdr:colOff>255270</xdr:colOff>
      <xdr:row>34</xdr:row>
      <xdr:rowOff>64135</xdr:rowOff>
    </xdr:from>
    <xdr:to>
      <xdr:col>20</xdr:col>
      <xdr:colOff>313690</xdr:colOff>
      <xdr:row>43</xdr:row>
      <xdr:rowOff>156210</xdr:rowOff>
    </xdr:to>
    <xdr:graphicFrame>
      <xdr:nvGraphicFramePr>
        <xdr:cNvPr id="2" name="图表 1"/>
        <xdr:cNvGraphicFramePr/>
      </xdr:nvGraphicFramePr>
      <xdr:xfrm>
        <a:off x="17125950" y="6186805"/>
        <a:ext cx="3057525" cy="16903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1434465</xdr:colOff>
      <xdr:row>33</xdr:row>
      <xdr:rowOff>167005</xdr:rowOff>
    </xdr:from>
    <xdr:to>
      <xdr:col>15</xdr:col>
      <xdr:colOff>864235</xdr:colOff>
      <xdr:row>45</xdr:row>
      <xdr:rowOff>142875</xdr:rowOff>
    </xdr:to>
    <xdr:graphicFrame>
      <xdr:nvGraphicFramePr>
        <xdr:cNvPr id="5" name="图表 4"/>
        <xdr:cNvGraphicFramePr/>
      </xdr:nvGraphicFramePr>
      <xdr:xfrm>
        <a:off x="13079730" y="6106795"/>
        <a:ext cx="3699510" cy="20847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303530</xdr:colOff>
      <xdr:row>16</xdr:row>
      <xdr:rowOff>100965</xdr:rowOff>
    </xdr:from>
    <xdr:to>
      <xdr:col>28</xdr:col>
      <xdr:colOff>157480</xdr:colOff>
      <xdr:row>31</xdr:row>
      <xdr:rowOff>128905</xdr:rowOff>
    </xdr:to>
    <xdr:graphicFrame>
      <xdr:nvGraphicFramePr>
        <xdr:cNvPr id="9" name="图表 8"/>
        <xdr:cNvGraphicFramePr/>
      </xdr:nvGraphicFramePr>
      <xdr:xfrm>
        <a:off x="20173315" y="2931795"/>
        <a:ext cx="4832350" cy="27711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56515</xdr:colOff>
      <xdr:row>25</xdr:row>
      <xdr:rowOff>27940</xdr:rowOff>
    </xdr:from>
    <xdr:to>
      <xdr:col>8</xdr:col>
      <xdr:colOff>175895</xdr:colOff>
      <xdr:row>33</xdr:row>
      <xdr:rowOff>94615</xdr:rowOff>
    </xdr:to>
    <xdr:graphicFrame>
      <xdr:nvGraphicFramePr>
        <xdr:cNvPr id="8" name="图表 7"/>
        <xdr:cNvGraphicFramePr/>
      </xdr:nvGraphicFramePr>
      <xdr:xfrm>
        <a:off x="5777230" y="4504690"/>
        <a:ext cx="2056130" cy="1529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398145</xdr:colOff>
      <xdr:row>36</xdr:row>
      <xdr:rowOff>39370</xdr:rowOff>
    </xdr:from>
    <xdr:to>
      <xdr:col>8</xdr:col>
      <xdr:colOff>779145</xdr:colOff>
      <xdr:row>43</xdr:row>
      <xdr:rowOff>128270</xdr:rowOff>
    </xdr:to>
    <xdr:graphicFrame>
      <xdr:nvGraphicFramePr>
        <xdr:cNvPr id="10" name="图表 9"/>
        <xdr:cNvGraphicFramePr/>
      </xdr:nvGraphicFramePr>
      <xdr:xfrm>
        <a:off x="6118860" y="6527800"/>
        <a:ext cx="2317750" cy="13214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/>
  </sheetPr>
  <dimension ref="A1:W62"/>
  <sheetViews>
    <sheetView tabSelected="1" zoomScale="115" zoomScaleNormal="115" workbookViewId="0">
      <selection activeCell="K34" sqref="K34"/>
    </sheetView>
  </sheetViews>
  <sheetFormatPr defaultColWidth="8.99082568807339" defaultRowHeight="12.9"/>
  <cols>
    <col min="1" max="1" width="18.3119266055046" customWidth="1"/>
    <col min="2" max="2" width="16.0825688073394" customWidth="1"/>
    <col min="3" max="3" width="21.7064220183486" customWidth="1"/>
    <col min="4" max="4" width="13.8073394495413" customWidth="1"/>
    <col min="5" max="5" width="12.743119266055" customWidth="1"/>
    <col min="6" max="6" width="11.6146788990826" customWidth="1"/>
    <col min="7" max="7" width="7.37614678899083" customWidth="1"/>
    <col min="9" max="11" width="13.8440366972477" customWidth="1"/>
    <col min="12" max="12" width="16.0825688073394" customWidth="1"/>
    <col min="13" max="13" width="21.7064220183486" customWidth="1"/>
    <col min="14" max="14" width="18.3119266055046" customWidth="1"/>
    <col min="15" max="15" width="21.6697247706422" customWidth="1"/>
    <col min="16" max="16" width="13.8073394495413" customWidth="1"/>
    <col min="17" max="17" width="12.743119266055" customWidth="1"/>
    <col min="18" max="18" width="11.5688073394495" customWidth="1"/>
    <col min="19" max="19" width="10.0275229357798" customWidth="1"/>
  </cols>
  <sheetData>
    <row r="1" spans="1:23">
      <c r="A1" s="1" t="s">
        <v>0</v>
      </c>
      <c r="B1" s="2"/>
      <c r="C1" s="2"/>
      <c r="D1" s="2"/>
      <c r="E1" s="2"/>
      <c r="F1" s="3"/>
    </row>
    <row r="2" spans="1:23">
      <c r="A2" s="4" t="s">
        <v>1</v>
      </c>
      <c r="B2" s="5" t="s">
        <v>2</v>
      </c>
      <c r="C2" s="6" t="s">
        <v>3</v>
      </c>
      <c r="D2" s="7" t="s">
        <v>4</v>
      </c>
      <c r="E2" s="8" t="s">
        <v>5</v>
      </c>
      <c r="F2" s="9">
        <v>1500</v>
      </c>
    </row>
    <row r="3" spans="1:23">
      <c r="A3" s="10">
        <v>3.3</v>
      </c>
      <c r="B3" s="11">
        <v>12</v>
      </c>
      <c r="C3" s="12">
        <f>A3/(2^B3)*1000</f>
        <v>0.8056640625</v>
      </c>
      <c r="D3" s="13">
        <f>A3/(2^B3)*1000000</f>
        <v>805.6640625</v>
      </c>
      <c r="E3" s="14">
        <f>D3*1000</f>
        <v>805664.0625</v>
      </c>
      <c r="F3" s="15">
        <f>F2*C3</f>
        <v>1208.49609375</v>
      </c>
    </row>
    <row r="5" spans="1:23">
      <c r="A5" s="16" t="s">
        <v>6</v>
      </c>
      <c r="B5" s="16"/>
      <c r="C5" s="16"/>
      <c r="D5" s="16"/>
      <c r="E5" s="16"/>
      <c r="F5" s="16"/>
      <c r="K5" s="16" t="s">
        <v>7</v>
      </c>
      <c r="L5" s="16"/>
      <c r="M5" s="16"/>
      <c r="N5" s="16"/>
      <c r="O5" s="16"/>
      <c r="P5" s="16"/>
      <c r="Q5" s="16"/>
      <c r="R5" s="16"/>
      <c r="S5" s="16"/>
    </row>
    <row r="6" ht="14.4" spans="1:23">
      <c r="A6" s="4" t="s">
        <v>8</v>
      </c>
      <c r="B6" s="5" t="s">
        <v>9</v>
      </c>
      <c r="C6" s="6" t="s">
        <v>10</v>
      </c>
      <c r="D6" s="7" t="s">
        <v>11</v>
      </c>
      <c r="E6" s="8" t="s">
        <v>12</v>
      </c>
      <c r="F6" s="9" t="s">
        <v>13</v>
      </c>
      <c r="G6" s="9" t="s">
        <v>14</v>
      </c>
      <c r="H6" t="s">
        <v>15</v>
      </c>
      <c r="I6" t="s">
        <v>16</v>
      </c>
      <c r="K6" s="4" t="s">
        <v>17</v>
      </c>
      <c r="L6" s="5" t="s">
        <v>9</v>
      </c>
      <c r="M6" s="6" t="s">
        <v>18</v>
      </c>
      <c r="N6" s="6" t="s">
        <v>19</v>
      </c>
      <c r="O6" s="7" t="s">
        <v>20</v>
      </c>
      <c r="P6" s="7" t="s">
        <v>11</v>
      </c>
      <c r="Q6" s="8" t="s">
        <v>21</v>
      </c>
      <c r="R6" s="9" t="s">
        <v>22</v>
      </c>
      <c r="S6" s="9" t="s">
        <v>23</v>
      </c>
    </row>
    <row r="7" ht="14.4" spans="1:23">
      <c r="A7" s="10">
        <v>50</v>
      </c>
      <c r="B7" s="11">
        <v>3.31</v>
      </c>
      <c r="C7" s="12">
        <f>B7*(A7/(2^12))</f>
        <v>0.0404052734375</v>
      </c>
      <c r="D7" s="13">
        <v>11</v>
      </c>
      <c r="E7" s="14">
        <f>D7*C7</f>
        <v>0.4444580078125</v>
      </c>
      <c r="F7" s="17">
        <v>0.45</v>
      </c>
      <c r="G7" s="18">
        <f>(F7-E7)/E7</f>
        <v>0.0124691018950838</v>
      </c>
      <c r="H7">
        <v>0.45</v>
      </c>
      <c r="I7" s="19">
        <v>0.4444580078125</v>
      </c>
      <c r="K7" s="20">
        <v>1500</v>
      </c>
      <c r="L7" s="20">
        <v>3.31</v>
      </c>
      <c r="M7" s="20">
        <f>L7*(K7/(2^12))</f>
        <v>1.212158203125</v>
      </c>
      <c r="N7" s="20">
        <v>10</v>
      </c>
      <c r="O7" s="20">
        <v>1.24</v>
      </c>
      <c r="P7" s="20">
        <v>40</v>
      </c>
      <c r="Q7" s="21"/>
      <c r="R7" s="22"/>
      <c r="S7" s="22"/>
      <c r="V7" t="s">
        <v>15</v>
      </c>
      <c r="W7" t="s">
        <v>16</v>
      </c>
    </row>
    <row r="8" ht="14.4" spans="1:23">
      <c r="A8" s="10">
        <v>150</v>
      </c>
      <c r="B8" s="11">
        <v>3.31</v>
      </c>
      <c r="C8" s="12">
        <f t="shared" ref="C8:C27" si="0">B8*(A8/(2^12))</f>
        <v>0.1212158203125</v>
      </c>
      <c r="D8" s="13">
        <v>11</v>
      </c>
      <c r="E8" s="14">
        <f t="shared" ref="E8:E27" si="1">D8*C8</f>
        <v>1.3333740234375</v>
      </c>
      <c r="F8" s="17">
        <v>1.34</v>
      </c>
      <c r="G8" s="18">
        <f t="shared" ref="G8:G25" si="2">(F8-E8)/E8</f>
        <v>0.00496933076993506</v>
      </c>
      <c r="H8">
        <v>1.34</v>
      </c>
      <c r="I8" s="19">
        <v>1.3333740234375</v>
      </c>
      <c r="K8" s="10">
        <v>1600</v>
      </c>
      <c r="L8" s="11">
        <v>3.31</v>
      </c>
      <c r="M8" s="12">
        <f>L8*(K8/(2^12))</f>
        <v>1.29296875</v>
      </c>
      <c r="N8" s="12">
        <v>10</v>
      </c>
      <c r="O8" s="13">
        <v>1.247</v>
      </c>
      <c r="P8" s="13">
        <v>40</v>
      </c>
      <c r="Q8" s="14">
        <f>((M8-O8)/40)*100</f>
        <v>0.114921875</v>
      </c>
      <c r="R8" s="17">
        <v>0.12</v>
      </c>
      <c r="S8" s="18">
        <f>(R8-Q8)/Q8</f>
        <v>0.0441876274643099</v>
      </c>
      <c r="T8">
        <v>0.11</v>
      </c>
      <c r="V8">
        <v>0.12</v>
      </c>
      <c r="W8">
        <v>0.11</v>
      </c>
    </row>
    <row r="9" ht="14.4" spans="1:23">
      <c r="A9" s="10">
        <v>250</v>
      </c>
      <c r="B9" s="11">
        <v>3.31</v>
      </c>
      <c r="C9" s="12">
        <f t="shared" si="0"/>
        <v>0.2020263671875</v>
      </c>
      <c r="D9" s="13">
        <v>11</v>
      </c>
      <c r="E9" s="14">
        <f t="shared" si="1"/>
        <v>2.2222900390625</v>
      </c>
      <c r="F9" s="17">
        <v>2.23</v>
      </c>
      <c r="G9" s="18">
        <f t="shared" si="2"/>
        <v>0.00346937654490524</v>
      </c>
      <c r="H9">
        <v>2.23</v>
      </c>
      <c r="I9" s="19">
        <v>2.2222900390625</v>
      </c>
      <c r="K9" s="10">
        <f>K8+100</f>
        <v>1700</v>
      </c>
      <c r="L9" s="11">
        <v>3.31</v>
      </c>
      <c r="M9" s="12">
        <f t="shared" ref="M9:M33" si="3">L9*(K9/(2^12))</f>
        <v>1.373779296875</v>
      </c>
      <c r="N9" s="12">
        <v>10</v>
      </c>
      <c r="O9" s="13">
        <v>1.247</v>
      </c>
      <c r="P9" s="13">
        <v>40</v>
      </c>
      <c r="Q9" s="14">
        <f t="shared" ref="Q8:Q33" si="4">((M9-O9)/40)*100</f>
        <v>0.3169482421875</v>
      </c>
      <c r="R9" s="17">
        <v>0.32</v>
      </c>
      <c r="S9" s="18">
        <f t="shared" ref="S9:S19" si="5">(R9-Q9)/Q9</f>
        <v>0.00962856834742956</v>
      </c>
      <c r="T9">
        <v>0.32</v>
      </c>
      <c r="V9">
        <v>0.32</v>
      </c>
      <c r="W9">
        <v>0.32</v>
      </c>
    </row>
    <row r="10" ht="14.4" spans="1:23">
      <c r="A10" s="10">
        <v>350</v>
      </c>
      <c r="B10" s="11">
        <v>3.31</v>
      </c>
      <c r="C10" s="12">
        <f t="shared" si="0"/>
        <v>0.2828369140625</v>
      </c>
      <c r="D10" s="13">
        <v>11</v>
      </c>
      <c r="E10" s="14">
        <f t="shared" si="1"/>
        <v>3.1112060546875</v>
      </c>
      <c r="F10" s="17">
        <v>3.12</v>
      </c>
      <c r="G10" s="18">
        <f t="shared" si="2"/>
        <v>0.00282653901989253</v>
      </c>
      <c r="H10">
        <v>3.12</v>
      </c>
      <c r="I10" s="19">
        <v>3.1112060546875</v>
      </c>
      <c r="K10" s="10">
        <f t="shared" ref="K10:K33" si="6">K9+100</f>
        <v>1800</v>
      </c>
      <c r="L10" s="11">
        <v>3.31</v>
      </c>
      <c r="M10" s="12">
        <f t="shared" si="3"/>
        <v>1.45458984375</v>
      </c>
      <c r="N10" s="12">
        <v>10</v>
      </c>
      <c r="O10" s="13">
        <v>1.247</v>
      </c>
      <c r="P10" s="13">
        <v>40</v>
      </c>
      <c r="Q10" s="14">
        <f t="shared" si="4"/>
        <v>0.518974609375</v>
      </c>
      <c r="R10" s="17">
        <v>0.51</v>
      </c>
      <c r="S10" s="18">
        <f t="shared" si="5"/>
        <v>-0.017292964266225</v>
      </c>
      <c r="T10">
        <v>0.52</v>
      </c>
      <c r="V10">
        <v>0.53</v>
      </c>
      <c r="W10">
        <v>0.52</v>
      </c>
    </row>
    <row r="11" ht="14.4" spans="1:23">
      <c r="A11" s="10">
        <v>450</v>
      </c>
      <c r="B11" s="11">
        <v>3.31</v>
      </c>
      <c r="C11" s="12">
        <f t="shared" si="0"/>
        <v>0.3636474609375</v>
      </c>
      <c r="D11" s="13">
        <v>11</v>
      </c>
      <c r="E11" s="14">
        <f t="shared" si="1"/>
        <v>4.0001220703125</v>
      </c>
      <c r="F11" s="17">
        <v>4.01</v>
      </c>
      <c r="G11" s="18">
        <f t="shared" si="2"/>
        <v>0.00246940706155202</v>
      </c>
      <c r="H11">
        <v>4.01</v>
      </c>
      <c r="I11" s="19">
        <v>4.0001220703125</v>
      </c>
      <c r="K11" s="10">
        <f t="shared" si="6"/>
        <v>1900</v>
      </c>
      <c r="L11" s="11">
        <v>3.31</v>
      </c>
      <c r="M11" s="12">
        <f t="shared" si="3"/>
        <v>1.535400390625</v>
      </c>
      <c r="N11" s="12">
        <v>10</v>
      </c>
      <c r="O11" s="13">
        <v>1.247</v>
      </c>
      <c r="P11" s="13">
        <v>40</v>
      </c>
      <c r="Q11" s="14">
        <f t="shared" si="4"/>
        <v>0.7210009765625</v>
      </c>
      <c r="R11" s="17">
        <v>0.71</v>
      </c>
      <c r="S11" s="18">
        <f t="shared" si="5"/>
        <v>-0.0152579218615613</v>
      </c>
      <c r="T11">
        <v>0.72</v>
      </c>
      <c r="V11">
        <v>0.74</v>
      </c>
      <c r="W11">
        <v>0.72</v>
      </c>
    </row>
    <row r="12" ht="14.4" spans="1:23">
      <c r="A12" s="10">
        <v>550</v>
      </c>
      <c r="B12" s="11">
        <v>3.31</v>
      </c>
      <c r="C12" s="12">
        <f t="shared" si="0"/>
        <v>0.4444580078125</v>
      </c>
      <c r="D12" s="13">
        <v>11</v>
      </c>
      <c r="E12" s="14">
        <f t="shared" si="1"/>
        <v>4.8890380859375</v>
      </c>
      <c r="F12" s="17">
        <v>4.91</v>
      </c>
      <c r="G12" s="18">
        <f t="shared" si="2"/>
        <v>0.0042875333949215</v>
      </c>
      <c r="H12">
        <v>4.91</v>
      </c>
      <c r="I12" s="19">
        <v>4.8890380859375</v>
      </c>
      <c r="K12" s="10">
        <f t="shared" si="6"/>
        <v>2000</v>
      </c>
      <c r="L12" s="11">
        <v>3.31</v>
      </c>
      <c r="M12" s="12">
        <f t="shared" si="3"/>
        <v>1.6162109375</v>
      </c>
      <c r="N12" s="12">
        <v>10</v>
      </c>
      <c r="O12" s="13">
        <v>1.247</v>
      </c>
      <c r="P12" s="13">
        <v>40</v>
      </c>
      <c r="Q12" s="14">
        <f t="shared" si="4"/>
        <v>0.92302734375</v>
      </c>
      <c r="R12" s="17">
        <v>0.91</v>
      </c>
      <c r="S12" s="18">
        <f t="shared" si="5"/>
        <v>-0.0141137137899658</v>
      </c>
      <c r="T12">
        <v>0.92</v>
      </c>
      <c r="V12">
        <v>0.95</v>
      </c>
      <c r="W12">
        <v>0.92</v>
      </c>
    </row>
    <row r="13" ht="14.4" spans="1:23">
      <c r="A13" s="10">
        <v>650</v>
      </c>
      <c r="B13" s="11">
        <v>3.31</v>
      </c>
      <c r="C13" s="12">
        <f t="shared" si="0"/>
        <v>0.5252685546875</v>
      </c>
      <c r="D13" s="13">
        <v>11</v>
      </c>
      <c r="E13" s="14">
        <f t="shared" si="1"/>
        <v>5.7779541015625</v>
      </c>
      <c r="F13" s="17">
        <v>5.8</v>
      </c>
      <c r="G13" s="18">
        <f t="shared" si="2"/>
        <v>0.00381551982760439</v>
      </c>
      <c r="H13">
        <v>5.8</v>
      </c>
      <c r="I13" s="19">
        <v>5.7779541015625</v>
      </c>
      <c r="K13" s="10">
        <f t="shared" si="6"/>
        <v>2100</v>
      </c>
      <c r="L13" s="11">
        <v>3.31</v>
      </c>
      <c r="M13" s="12">
        <f t="shared" si="3"/>
        <v>1.697021484375</v>
      </c>
      <c r="N13" s="12">
        <v>10</v>
      </c>
      <c r="O13" s="13">
        <v>1.247</v>
      </c>
      <c r="P13" s="13">
        <v>40</v>
      </c>
      <c r="Q13" s="14">
        <f t="shared" si="4"/>
        <v>1.1250537109375</v>
      </c>
      <c r="R13" s="17">
        <v>1.1</v>
      </c>
      <c r="S13" s="18">
        <f t="shared" si="5"/>
        <v>-0.022268902092348</v>
      </c>
      <c r="T13">
        <v>1.13</v>
      </c>
      <c r="V13">
        <v>1.16</v>
      </c>
      <c r="W13">
        <v>1.13</v>
      </c>
    </row>
    <row r="14" ht="14.4" spans="1:23">
      <c r="A14" s="10">
        <v>750</v>
      </c>
      <c r="B14" s="11">
        <v>3.31</v>
      </c>
      <c r="C14" s="12">
        <f t="shared" si="0"/>
        <v>0.6060791015625</v>
      </c>
      <c r="D14" s="13">
        <v>11</v>
      </c>
      <c r="E14" s="14">
        <f t="shared" si="1"/>
        <v>6.6668701171875</v>
      </c>
      <c r="F14" s="17">
        <v>6.69</v>
      </c>
      <c r="G14" s="18">
        <f t="shared" si="2"/>
        <v>0.0034693765449053</v>
      </c>
      <c r="H14">
        <v>6.69</v>
      </c>
      <c r="I14" s="19">
        <v>6.6668701171875</v>
      </c>
      <c r="K14" s="10">
        <f t="shared" si="6"/>
        <v>2200</v>
      </c>
      <c r="L14" s="11">
        <v>3.31</v>
      </c>
      <c r="M14" s="12">
        <f t="shared" si="3"/>
        <v>1.77783203125</v>
      </c>
      <c r="N14" s="12">
        <v>10</v>
      </c>
      <c r="O14" s="13">
        <v>1.247</v>
      </c>
      <c r="P14" s="13">
        <v>40</v>
      </c>
      <c r="Q14" s="14">
        <f t="shared" si="4"/>
        <v>1.327080078125</v>
      </c>
      <c r="R14" s="17">
        <v>1.3</v>
      </c>
      <c r="S14" s="18">
        <f t="shared" si="5"/>
        <v>-0.0204057604144437</v>
      </c>
      <c r="T14">
        <v>1.33</v>
      </c>
      <c r="V14">
        <v>1.36</v>
      </c>
      <c r="W14">
        <v>1.33</v>
      </c>
    </row>
    <row r="15" ht="14.4" spans="1:23">
      <c r="A15" s="10">
        <v>850</v>
      </c>
      <c r="B15" s="11">
        <v>3.31</v>
      </c>
      <c r="C15" s="12">
        <f t="shared" si="0"/>
        <v>0.6868896484375</v>
      </c>
      <c r="D15" s="13">
        <v>11</v>
      </c>
      <c r="E15" s="14">
        <f t="shared" si="1"/>
        <v>7.5557861328125</v>
      </c>
      <c r="F15" s="17">
        <v>7.58</v>
      </c>
      <c r="G15" s="18">
        <f t="shared" si="2"/>
        <v>0.00320467874048824</v>
      </c>
      <c r="H15">
        <v>7.58</v>
      </c>
      <c r="I15" s="19">
        <v>7.5557861328125</v>
      </c>
      <c r="K15" s="10">
        <f t="shared" si="6"/>
        <v>2300</v>
      </c>
      <c r="L15" s="11">
        <v>3.31</v>
      </c>
      <c r="M15" s="12">
        <f t="shared" si="3"/>
        <v>1.858642578125</v>
      </c>
      <c r="N15" s="12">
        <v>10</v>
      </c>
      <c r="O15" s="13">
        <v>1.247</v>
      </c>
      <c r="P15" s="13">
        <v>40</v>
      </c>
      <c r="Q15" s="14">
        <f t="shared" si="4"/>
        <v>1.5291064453125</v>
      </c>
      <c r="R15" s="17">
        <v>1.5</v>
      </c>
      <c r="S15" s="18">
        <f t="shared" si="5"/>
        <v>-0.0190349373006218</v>
      </c>
      <c r="T15">
        <v>1.53</v>
      </c>
      <c r="V15">
        <v>1.57</v>
      </c>
      <c r="W15">
        <v>1.53</v>
      </c>
    </row>
    <row r="16" ht="14.4" spans="1:23">
      <c r="A16" s="10">
        <v>950</v>
      </c>
      <c r="B16" s="11">
        <v>3.31</v>
      </c>
      <c r="C16" s="12">
        <f t="shared" si="0"/>
        <v>0.7677001953125</v>
      </c>
      <c r="D16" s="13">
        <v>11</v>
      </c>
      <c r="E16" s="14">
        <f t="shared" si="1"/>
        <v>8.4447021484375</v>
      </c>
      <c r="F16" s="17">
        <v>8.48</v>
      </c>
      <c r="G16" s="18">
        <f t="shared" si="2"/>
        <v>0.00417988117781413</v>
      </c>
      <c r="H16">
        <v>8.48</v>
      </c>
      <c r="I16" s="19">
        <v>8.4447021484375</v>
      </c>
      <c r="K16" s="10">
        <f t="shared" si="6"/>
        <v>2400</v>
      </c>
      <c r="L16" s="11">
        <v>3.31</v>
      </c>
      <c r="M16" s="12">
        <f t="shared" si="3"/>
        <v>1.939453125</v>
      </c>
      <c r="N16" s="12">
        <v>10</v>
      </c>
      <c r="O16" s="13">
        <v>1.247</v>
      </c>
      <c r="P16" s="13">
        <v>40</v>
      </c>
      <c r="Q16" s="14">
        <f t="shared" si="4"/>
        <v>1.7311328125</v>
      </c>
      <c r="R16" s="17">
        <v>1.69</v>
      </c>
      <c r="S16" s="18">
        <f t="shared" si="5"/>
        <v>-0.0237606336168965</v>
      </c>
      <c r="T16">
        <v>1.73</v>
      </c>
      <c r="V16">
        <v>1.78</v>
      </c>
      <c r="W16">
        <v>1.73</v>
      </c>
    </row>
    <row r="17" ht="14.4" spans="1:20">
      <c r="A17" s="10">
        <v>1050</v>
      </c>
      <c r="B17" s="11">
        <v>3.31</v>
      </c>
      <c r="C17" s="12">
        <f t="shared" si="0"/>
        <v>0.8485107421875</v>
      </c>
      <c r="D17" s="13">
        <v>11</v>
      </c>
      <c r="E17" s="14">
        <f t="shared" si="1"/>
        <v>9.3336181640625</v>
      </c>
      <c r="F17" s="17">
        <v>9.36</v>
      </c>
      <c r="G17" s="18">
        <f t="shared" si="2"/>
        <v>0.00282653901989243</v>
      </c>
      <c r="H17">
        <v>9.36</v>
      </c>
      <c r="I17" s="19">
        <v>9.3336181640625</v>
      </c>
      <c r="K17" s="10">
        <f t="shared" si="6"/>
        <v>2500</v>
      </c>
      <c r="L17" s="11">
        <v>3.31</v>
      </c>
      <c r="M17" s="12">
        <f t="shared" si="3"/>
        <v>2.020263671875</v>
      </c>
      <c r="N17" s="12">
        <v>10</v>
      </c>
      <c r="O17" s="13">
        <v>1.247</v>
      </c>
      <c r="P17" s="13">
        <v>40</v>
      </c>
      <c r="Q17" s="14">
        <f t="shared" si="4"/>
        <v>1.9331591796875</v>
      </c>
      <c r="R17" s="17">
        <v>1.89</v>
      </c>
      <c r="S17" s="18">
        <f t="shared" si="5"/>
        <v>-0.0223257247209601</v>
      </c>
      <c r="T17">
        <v>1.94</v>
      </c>
    </row>
    <row r="18" ht="14.4" spans="1:20">
      <c r="A18" s="10">
        <v>1150</v>
      </c>
      <c r="B18" s="11">
        <v>3.31</v>
      </c>
      <c r="C18" s="12">
        <f t="shared" si="0"/>
        <v>0.9293212890625</v>
      </c>
      <c r="D18" s="13">
        <v>11</v>
      </c>
      <c r="E18" s="14">
        <f t="shared" si="1"/>
        <v>10.2225341796875</v>
      </c>
      <c r="F18" s="17">
        <v>10.26</v>
      </c>
      <c r="G18" s="18">
        <f t="shared" si="2"/>
        <v>0.00366502274816998</v>
      </c>
      <c r="H18">
        <v>10.26</v>
      </c>
      <c r="I18" s="19">
        <v>10.2225341796875</v>
      </c>
      <c r="K18" s="10">
        <f t="shared" si="6"/>
        <v>2600</v>
      </c>
      <c r="L18" s="11">
        <v>3.31</v>
      </c>
      <c r="M18" s="12">
        <f t="shared" si="3"/>
        <v>2.10107421875</v>
      </c>
      <c r="N18" s="12">
        <v>10</v>
      </c>
      <c r="O18" s="13">
        <v>1.247</v>
      </c>
      <c r="P18" s="13">
        <v>40</v>
      </c>
      <c r="Q18" s="14">
        <f t="shared" si="4"/>
        <v>2.135185546875</v>
      </c>
      <c r="R18" s="17">
        <v>2.09</v>
      </c>
      <c r="S18" s="18">
        <f t="shared" si="5"/>
        <v>-0.021162351413034</v>
      </c>
      <c r="T18" s="23">
        <v>2.14</v>
      </c>
    </row>
    <row r="19" ht="14.4" spans="1:20">
      <c r="A19" s="10">
        <v>1250</v>
      </c>
      <c r="B19" s="11">
        <v>3.31</v>
      </c>
      <c r="C19" s="12">
        <f t="shared" si="0"/>
        <v>1.0101318359375</v>
      </c>
      <c r="D19" s="13">
        <v>11</v>
      </c>
      <c r="E19" s="14">
        <f t="shared" si="1"/>
        <v>11.1114501953125</v>
      </c>
      <c r="F19" s="17">
        <v>11.15</v>
      </c>
      <c r="G19" s="18">
        <f t="shared" si="2"/>
        <v>0.00346937654490528</v>
      </c>
      <c r="H19">
        <v>11.15</v>
      </c>
      <c r="I19" s="19">
        <v>11.1114501953125</v>
      </c>
      <c r="K19" s="10">
        <f t="shared" si="6"/>
        <v>2700</v>
      </c>
      <c r="L19" s="11">
        <v>3.31</v>
      </c>
      <c r="M19" s="12">
        <f t="shared" si="3"/>
        <v>2.181884765625</v>
      </c>
      <c r="N19" s="12">
        <v>10</v>
      </c>
      <c r="O19" s="13">
        <v>1.247</v>
      </c>
      <c r="P19" s="13">
        <v>40</v>
      </c>
      <c r="Q19" s="14">
        <f t="shared" si="4"/>
        <v>2.3372119140625</v>
      </c>
      <c r="R19" s="17">
        <v>2.29</v>
      </c>
      <c r="S19" s="18">
        <f t="shared" si="5"/>
        <v>-0.0202000998619064</v>
      </c>
      <c r="T19" s="23">
        <v>2.33</v>
      </c>
    </row>
    <row r="20" ht="14.4" spans="1:20">
      <c r="A20" s="10">
        <v>1350</v>
      </c>
      <c r="B20" s="11">
        <v>3.31</v>
      </c>
      <c r="C20" s="12">
        <f t="shared" si="0"/>
        <v>1.0909423828125</v>
      </c>
      <c r="D20" s="13">
        <v>11</v>
      </c>
      <c r="E20" s="14">
        <f t="shared" si="1"/>
        <v>12.0003662109375</v>
      </c>
      <c r="F20" s="17">
        <v>12.04</v>
      </c>
      <c r="G20" s="18">
        <f t="shared" si="2"/>
        <v>0.00330271496434631</v>
      </c>
      <c r="H20">
        <v>12.04</v>
      </c>
      <c r="I20" s="19">
        <v>12.0003662109375</v>
      </c>
      <c r="K20" s="10">
        <f t="shared" si="6"/>
        <v>2800</v>
      </c>
      <c r="L20" s="11">
        <v>3.31</v>
      </c>
      <c r="M20" s="12">
        <f t="shared" si="3"/>
        <v>2.2626953125</v>
      </c>
      <c r="N20" s="12">
        <v>10</v>
      </c>
      <c r="O20" s="13">
        <v>1.247</v>
      </c>
      <c r="P20" s="13">
        <v>40</v>
      </c>
      <c r="Q20" s="14">
        <f t="shared" si="4"/>
        <v>2.53923828125</v>
      </c>
      <c r="R20" s="24"/>
      <c r="S20" s="24"/>
    </row>
    <row r="21" ht="14.4" spans="1:20">
      <c r="A21" s="10">
        <v>1450</v>
      </c>
      <c r="B21" s="11">
        <v>3.31</v>
      </c>
      <c r="C21" s="12">
        <f t="shared" si="0"/>
        <v>1.1717529296875</v>
      </c>
      <c r="D21" s="13">
        <v>11</v>
      </c>
      <c r="E21" s="14">
        <f t="shared" si="1"/>
        <v>12.8892822265625</v>
      </c>
      <c r="F21" s="17">
        <v>12.93</v>
      </c>
      <c r="G21" s="18">
        <f t="shared" si="2"/>
        <v>0.00315904118800252</v>
      </c>
      <c r="H21">
        <v>12.93</v>
      </c>
      <c r="I21" s="19">
        <v>12.8892822265625</v>
      </c>
      <c r="K21" s="10">
        <f t="shared" si="6"/>
        <v>2900</v>
      </c>
      <c r="L21" s="11">
        <v>3.31</v>
      </c>
      <c r="M21" s="12">
        <f t="shared" si="3"/>
        <v>2.343505859375</v>
      </c>
      <c r="N21" s="12">
        <v>10</v>
      </c>
      <c r="O21" s="13">
        <v>1.247</v>
      </c>
      <c r="P21" s="13">
        <v>40</v>
      </c>
      <c r="Q21" s="14">
        <f t="shared" si="4"/>
        <v>2.7412646484375</v>
      </c>
      <c r="R21" s="24"/>
      <c r="S21" s="24"/>
    </row>
    <row r="22" ht="14.4" spans="1:20">
      <c r="A22" s="10">
        <v>1550</v>
      </c>
      <c r="B22" s="11">
        <v>3.31</v>
      </c>
      <c r="C22" s="12">
        <f t="shared" si="0"/>
        <v>1.2525634765625</v>
      </c>
      <c r="D22" s="13">
        <v>11</v>
      </c>
      <c r="E22" s="14">
        <f t="shared" si="1"/>
        <v>13.7781982421875</v>
      </c>
      <c r="F22" s="17">
        <v>13.82</v>
      </c>
      <c r="G22" s="18">
        <f t="shared" si="2"/>
        <v>0.00303390596344502</v>
      </c>
      <c r="H22">
        <v>13.82</v>
      </c>
      <c r="I22" s="19">
        <v>13.7781982421875</v>
      </c>
      <c r="K22" s="10">
        <f t="shared" si="6"/>
        <v>3000</v>
      </c>
      <c r="L22" s="11">
        <v>3.31</v>
      </c>
      <c r="M22" s="12">
        <f t="shared" si="3"/>
        <v>2.42431640625</v>
      </c>
      <c r="N22" s="12">
        <v>10</v>
      </c>
      <c r="O22" s="13">
        <v>1.247</v>
      </c>
      <c r="P22" s="13">
        <v>40</v>
      </c>
      <c r="Q22" s="14">
        <f t="shared" si="4"/>
        <v>2.943291015625</v>
      </c>
      <c r="R22" s="24"/>
      <c r="S22" s="24"/>
    </row>
    <row r="23" ht="14.4" spans="1:20">
      <c r="A23" s="10">
        <v>1650</v>
      </c>
      <c r="B23" s="11">
        <v>3.31</v>
      </c>
      <c r="C23" s="12">
        <f t="shared" si="0"/>
        <v>1.3333740234375</v>
      </c>
      <c r="D23" s="13">
        <v>11</v>
      </c>
      <c r="E23" s="14">
        <f t="shared" si="1"/>
        <v>14.6671142578125</v>
      </c>
      <c r="F23" s="17">
        <v>14.71</v>
      </c>
      <c r="G23" s="18">
        <f t="shared" si="2"/>
        <v>0.00292393864489448</v>
      </c>
      <c r="H23">
        <v>14.71</v>
      </c>
      <c r="I23" s="19">
        <v>14.6671142578125</v>
      </c>
      <c r="K23" s="10">
        <f t="shared" si="6"/>
        <v>3100</v>
      </c>
      <c r="L23" s="11">
        <v>3.31</v>
      </c>
      <c r="M23" s="12">
        <f t="shared" si="3"/>
        <v>2.505126953125</v>
      </c>
      <c r="N23" s="12">
        <v>10</v>
      </c>
      <c r="O23" s="13">
        <v>1.247</v>
      </c>
      <c r="P23" s="13">
        <v>40</v>
      </c>
      <c r="Q23" s="14">
        <f t="shared" si="4"/>
        <v>3.1453173828125</v>
      </c>
      <c r="R23" s="24"/>
      <c r="S23" s="24"/>
    </row>
    <row r="24" ht="14.4" spans="1:20">
      <c r="A24" s="10">
        <v>1750</v>
      </c>
      <c r="B24" s="11">
        <v>3.31</v>
      </c>
      <c r="C24" s="12">
        <f t="shared" si="0"/>
        <v>1.4141845703125</v>
      </c>
      <c r="D24" s="13">
        <v>11</v>
      </c>
      <c r="E24" s="14">
        <f t="shared" si="1"/>
        <v>15.5560302734375</v>
      </c>
      <c r="F24" s="17">
        <v>15.6</v>
      </c>
      <c r="G24" s="18">
        <f t="shared" si="2"/>
        <v>0.00282653901989247</v>
      </c>
      <c r="H24">
        <v>15.6</v>
      </c>
      <c r="I24" s="19">
        <v>15.5560302734375</v>
      </c>
      <c r="K24" s="10">
        <f t="shared" si="6"/>
        <v>3200</v>
      </c>
      <c r="L24" s="11">
        <v>3.31</v>
      </c>
      <c r="M24" s="12">
        <f t="shared" si="3"/>
        <v>2.5859375</v>
      </c>
      <c r="N24" s="12">
        <v>10</v>
      </c>
      <c r="O24" s="13">
        <v>1.247</v>
      </c>
      <c r="P24" s="13">
        <v>40</v>
      </c>
      <c r="Q24" s="14">
        <f t="shared" si="4"/>
        <v>3.34734375</v>
      </c>
      <c r="R24" s="24"/>
      <c r="S24" s="24"/>
    </row>
    <row r="25" ht="14.4" spans="1:20">
      <c r="A25" s="10">
        <v>1850</v>
      </c>
      <c r="B25" s="11">
        <v>3.31</v>
      </c>
      <c r="C25" s="12">
        <f t="shared" si="0"/>
        <v>1.4949951171875</v>
      </c>
      <c r="D25" s="13">
        <v>11</v>
      </c>
      <c r="E25" s="14">
        <f t="shared" si="1"/>
        <v>16.4449462890625</v>
      </c>
      <c r="F25" s="17">
        <v>16.63</v>
      </c>
      <c r="G25" s="18">
        <f t="shared" si="2"/>
        <v>0.0112529227937082</v>
      </c>
      <c r="K25" s="10">
        <f t="shared" si="6"/>
        <v>3300</v>
      </c>
      <c r="L25" s="11">
        <v>3.31</v>
      </c>
      <c r="M25" s="12">
        <f t="shared" si="3"/>
        <v>2.666748046875</v>
      </c>
      <c r="N25" s="12">
        <v>10</v>
      </c>
      <c r="O25" s="13">
        <v>1.247</v>
      </c>
      <c r="P25" s="13">
        <v>40</v>
      </c>
      <c r="Q25" s="14">
        <f t="shared" si="4"/>
        <v>3.5493701171875</v>
      </c>
      <c r="R25" s="24"/>
      <c r="S25" s="24"/>
    </row>
    <row r="26" ht="14.4" spans="1:20">
      <c r="A26" s="10">
        <v>1950</v>
      </c>
      <c r="B26" s="11">
        <v>3.31</v>
      </c>
      <c r="C26" s="12">
        <f t="shared" si="0"/>
        <v>1.5758056640625</v>
      </c>
      <c r="D26" s="13">
        <v>11</v>
      </c>
      <c r="E26" s="14">
        <f t="shared" si="1"/>
        <v>17.3338623046875</v>
      </c>
      <c r="F26" s="24"/>
      <c r="G26" s="24"/>
      <c r="H26">
        <v>50</v>
      </c>
      <c r="I26" s="19">
        <v>0.4444580078125</v>
      </c>
      <c r="K26" s="10">
        <f t="shared" si="6"/>
        <v>3400</v>
      </c>
      <c r="L26" s="11">
        <v>3.31</v>
      </c>
      <c r="M26" s="12">
        <f t="shared" si="3"/>
        <v>2.74755859375</v>
      </c>
      <c r="N26" s="12">
        <v>10</v>
      </c>
      <c r="O26" s="13">
        <v>1.247</v>
      </c>
      <c r="P26" s="13">
        <v>40</v>
      </c>
      <c r="Q26" s="14">
        <f t="shared" si="4"/>
        <v>3.751396484375</v>
      </c>
      <c r="R26" s="24"/>
      <c r="S26" s="24"/>
    </row>
    <row r="27" ht="14.4" spans="1:20">
      <c r="A27" s="10">
        <v>2050</v>
      </c>
      <c r="B27" s="11">
        <v>3.31</v>
      </c>
      <c r="C27" s="12">
        <f t="shared" si="0"/>
        <v>1.6566162109375</v>
      </c>
      <c r="D27" s="13">
        <v>11</v>
      </c>
      <c r="E27" s="14">
        <f t="shared" si="1"/>
        <v>18.2227783203125</v>
      </c>
      <c r="F27" s="24"/>
      <c r="G27" s="24"/>
      <c r="H27">
        <v>150</v>
      </c>
      <c r="I27" s="19">
        <v>1.3333740234375</v>
      </c>
      <c r="K27" s="10">
        <f t="shared" si="6"/>
        <v>3500</v>
      </c>
      <c r="L27" s="11">
        <v>3.31</v>
      </c>
      <c r="M27" s="12">
        <f t="shared" si="3"/>
        <v>2.828369140625</v>
      </c>
      <c r="N27" s="12">
        <v>10</v>
      </c>
      <c r="O27" s="13">
        <v>1.247</v>
      </c>
      <c r="P27" s="13">
        <v>40</v>
      </c>
      <c r="Q27" s="14">
        <f t="shared" si="4"/>
        <v>3.9534228515625</v>
      </c>
      <c r="R27" s="24"/>
      <c r="S27" s="24"/>
    </row>
    <row r="28" ht="14.4" spans="1:20">
      <c r="A28" s="10">
        <f>A27+100</f>
        <v>2150</v>
      </c>
      <c r="B28" s="11">
        <v>3.31</v>
      </c>
      <c r="C28" s="12">
        <f t="shared" ref="C28:C40" si="7">B28*(A28/(2^12))</f>
        <v>1.7374267578125</v>
      </c>
      <c r="D28" s="13">
        <v>11</v>
      </c>
      <c r="E28" s="14">
        <f t="shared" ref="E28:E40" si="8">D28*C28</f>
        <v>19.1116943359375</v>
      </c>
      <c r="F28" s="24"/>
      <c r="G28" s="24"/>
      <c r="H28">
        <v>250</v>
      </c>
      <c r="I28" s="19">
        <v>2.2222900390625</v>
      </c>
      <c r="K28" s="10">
        <f t="shared" si="6"/>
        <v>3600</v>
      </c>
      <c r="L28" s="11">
        <v>3.31</v>
      </c>
      <c r="M28" s="12">
        <f t="shared" si="3"/>
        <v>2.9091796875</v>
      </c>
      <c r="N28" s="12">
        <v>10</v>
      </c>
      <c r="O28" s="13">
        <v>1.247</v>
      </c>
      <c r="P28" s="13">
        <v>40</v>
      </c>
      <c r="Q28" s="14">
        <f t="shared" si="4"/>
        <v>4.15544921875</v>
      </c>
      <c r="R28" s="24"/>
      <c r="S28" s="24"/>
    </row>
    <row r="29" ht="14.4" spans="1:20">
      <c r="A29" s="10">
        <f t="shared" ref="A29:A40" si="9">A28+100</f>
        <v>2250</v>
      </c>
      <c r="B29" s="11">
        <v>3.31</v>
      </c>
      <c r="C29" s="12">
        <f t="shared" si="7"/>
        <v>1.8182373046875</v>
      </c>
      <c r="D29" s="13">
        <v>11</v>
      </c>
      <c r="E29" s="14">
        <f t="shared" si="8"/>
        <v>20.0006103515625</v>
      </c>
      <c r="F29" s="24"/>
      <c r="G29" s="24"/>
      <c r="H29">
        <v>350</v>
      </c>
      <c r="I29" s="19">
        <v>3.1112060546875</v>
      </c>
      <c r="K29" s="10">
        <f t="shared" si="6"/>
        <v>3700</v>
      </c>
      <c r="L29" s="11">
        <v>3.31</v>
      </c>
      <c r="M29" s="12">
        <f t="shared" si="3"/>
        <v>2.989990234375</v>
      </c>
      <c r="N29" s="12">
        <v>10</v>
      </c>
      <c r="O29" s="13">
        <v>1.247</v>
      </c>
      <c r="P29" s="13">
        <v>40</v>
      </c>
      <c r="Q29" s="14">
        <f t="shared" si="4"/>
        <v>4.3574755859375</v>
      </c>
      <c r="R29" s="24"/>
      <c r="S29" s="24"/>
    </row>
    <row r="30" ht="14.4" spans="1:20">
      <c r="A30" s="10">
        <f t="shared" si="9"/>
        <v>2350</v>
      </c>
      <c r="B30" s="11">
        <v>3.31</v>
      </c>
      <c r="C30" s="12">
        <f t="shared" si="7"/>
        <v>1.8990478515625</v>
      </c>
      <c r="D30" s="13">
        <v>11</v>
      </c>
      <c r="E30" s="14">
        <f t="shared" si="8"/>
        <v>20.8895263671875</v>
      </c>
      <c r="F30" s="24"/>
      <c r="G30" s="24"/>
      <c r="H30">
        <v>450</v>
      </c>
      <c r="I30" s="19">
        <v>4.0001220703125</v>
      </c>
      <c r="K30" s="10">
        <f t="shared" si="6"/>
        <v>3800</v>
      </c>
      <c r="L30" s="11">
        <v>3.31</v>
      </c>
      <c r="M30" s="12">
        <f t="shared" si="3"/>
        <v>3.07080078125</v>
      </c>
      <c r="N30" s="12">
        <v>10</v>
      </c>
      <c r="O30" s="13">
        <v>1.247</v>
      </c>
      <c r="P30" s="13">
        <v>40</v>
      </c>
      <c r="Q30" s="14">
        <f t="shared" si="4"/>
        <v>4.559501953125</v>
      </c>
      <c r="R30" s="24"/>
      <c r="S30" s="24"/>
    </row>
    <row r="31" ht="14.4" spans="1:20">
      <c r="A31" s="10">
        <f t="shared" si="9"/>
        <v>2450</v>
      </c>
      <c r="B31" s="11">
        <v>3.31</v>
      </c>
      <c r="C31" s="12">
        <f t="shared" si="7"/>
        <v>1.9798583984375</v>
      </c>
      <c r="D31" s="13">
        <v>11</v>
      </c>
      <c r="E31" s="14">
        <f t="shared" si="8"/>
        <v>21.7784423828125</v>
      </c>
      <c r="F31" s="24"/>
      <c r="G31" s="24"/>
      <c r="H31">
        <v>550</v>
      </c>
      <c r="I31" s="19">
        <v>4.8890380859375</v>
      </c>
      <c r="K31" s="10">
        <f t="shared" si="6"/>
        <v>3900</v>
      </c>
      <c r="L31" s="11">
        <v>3.31</v>
      </c>
      <c r="M31" s="12">
        <f t="shared" si="3"/>
        <v>3.151611328125</v>
      </c>
      <c r="N31" s="12">
        <v>10</v>
      </c>
      <c r="O31" s="13">
        <v>1.247</v>
      </c>
      <c r="P31" s="13">
        <v>40</v>
      </c>
      <c r="Q31" s="14">
        <f t="shared" si="4"/>
        <v>4.7615283203125</v>
      </c>
      <c r="R31" s="24"/>
      <c r="S31" s="24"/>
    </row>
    <row r="32" ht="14.4" spans="1:20">
      <c r="A32" s="10">
        <f t="shared" si="9"/>
        <v>2550</v>
      </c>
      <c r="B32" s="11">
        <v>3.31</v>
      </c>
      <c r="C32" s="12">
        <f t="shared" si="7"/>
        <v>2.0606689453125</v>
      </c>
      <c r="D32" s="13">
        <v>11</v>
      </c>
      <c r="E32" s="14">
        <f t="shared" si="8"/>
        <v>22.6673583984375</v>
      </c>
      <c r="F32" s="24"/>
      <c r="G32" s="24"/>
      <c r="H32">
        <v>650</v>
      </c>
      <c r="I32" s="19">
        <v>5.7779541015625</v>
      </c>
      <c r="K32" s="10">
        <f t="shared" si="6"/>
        <v>4000</v>
      </c>
      <c r="L32" s="11">
        <v>3.31</v>
      </c>
      <c r="M32" s="12">
        <f t="shared" si="3"/>
        <v>3.232421875</v>
      </c>
      <c r="N32" s="12">
        <v>10</v>
      </c>
      <c r="O32" s="13">
        <v>1.247</v>
      </c>
      <c r="P32" s="13">
        <v>40</v>
      </c>
      <c r="Q32" s="14">
        <f t="shared" si="4"/>
        <v>4.9635546875</v>
      </c>
      <c r="R32" s="24"/>
      <c r="S32" s="24"/>
    </row>
    <row r="33" ht="14.4" spans="1:19">
      <c r="A33" s="10">
        <f t="shared" si="9"/>
        <v>2650</v>
      </c>
      <c r="B33" s="11">
        <v>3.31</v>
      </c>
      <c r="C33" s="12">
        <f t="shared" si="7"/>
        <v>2.1414794921875</v>
      </c>
      <c r="D33" s="13">
        <v>11</v>
      </c>
      <c r="E33" s="14">
        <f t="shared" si="8"/>
        <v>23.5562744140625</v>
      </c>
      <c r="F33" s="24"/>
      <c r="G33" s="24"/>
      <c r="H33">
        <v>750</v>
      </c>
      <c r="I33" s="19">
        <v>6.6668701171875</v>
      </c>
      <c r="K33" s="10">
        <v>4095</v>
      </c>
      <c r="L33" s="11">
        <v>3.31</v>
      </c>
      <c r="M33" s="12">
        <f t="shared" si="3"/>
        <v>3.30919189453125</v>
      </c>
      <c r="N33" s="12">
        <v>10</v>
      </c>
      <c r="O33" s="13">
        <v>1.247</v>
      </c>
      <c r="P33" s="13">
        <v>40</v>
      </c>
      <c r="Q33" s="14">
        <f t="shared" si="4"/>
        <v>5.15547973632813</v>
      </c>
      <c r="R33" s="24"/>
      <c r="S33" s="24"/>
    </row>
    <row r="34" ht="14.4" spans="1:19">
      <c r="A34" s="10">
        <f t="shared" si="9"/>
        <v>2750</v>
      </c>
      <c r="B34" s="11">
        <v>3.31</v>
      </c>
      <c r="C34" s="12">
        <f t="shared" si="7"/>
        <v>2.2222900390625</v>
      </c>
      <c r="D34" s="13">
        <v>11</v>
      </c>
      <c r="E34" s="14">
        <f t="shared" si="8"/>
        <v>24.4451904296875</v>
      </c>
      <c r="F34" s="24"/>
      <c r="G34" s="24"/>
      <c r="H34">
        <v>850</v>
      </c>
      <c r="I34" s="19">
        <v>7.5557861328125</v>
      </c>
    </row>
    <row r="35" ht="14.4" spans="1:19">
      <c r="A35" s="10">
        <f t="shared" si="9"/>
        <v>2850</v>
      </c>
      <c r="B35" s="11">
        <v>3.31</v>
      </c>
      <c r="C35" s="12">
        <f t="shared" si="7"/>
        <v>2.3031005859375</v>
      </c>
      <c r="D35" s="13">
        <v>11</v>
      </c>
      <c r="E35" s="14">
        <f t="shared" si="8"/>
        <v>25.3341064453125</v>
      </c>
      <c r="F35" s="24"/>
      <c r="G35" s="24"/>
      <c r="H35">
        <v>950</v>
      </c>
      <c r="I35" s="19">
        <v>8.4447021484375</v>
      </c>
    </row>
    <row r="36" ht="14.4" spans="1:19">
      <c r="A36" s="10">
        <f t="shared" si="9"/>
        <v>2950</v>
      </c>
      <c r="B36" s="11">
        <v>3.31</v>
      </c>
      <c r="C36" s="12">
        <f t="shared" si="7"/>
        <v>2.3839111328125</v>
      </c>
      <c r="D36" s="13">
        <v>11</v>
      </c>
      <c r="E36" s="14">
        <f t="shared" si="8"/>
        <v>26.2230224609375</v>
      </c>
      <c r="F36" s="24"/>
      <c r="G36" s="24"/>
      <c r="H36">
        <v>1050</v>
      </c>
      <c r="I36" s="19">
        <v>9.3336181640625</v>
      </c>
    </row>
    <row r="37" ht="14.4" spans="1:19">
      <c r="A37" s="10">
        <f t="shared" si="9"/>
        <v>3050</v>
      </c>
      <c r="B37" s="11">
        <v>3.31</v>
      </c>
      <c r="C37" s="12">
        <f t="shared" si="7"/>
        <v>2.4647216796875</v>
      </c>
      <c r="D37" s="13">
        <v>11</v>
      </c>
      <c r="E37" s="14">
        <f t="shared" si="8"/>
        <v>27.1119384765625</v>
      </c>
      <c r="F37" s="24"/>
      <c r="G37" s="24"/>
      <c r="H37">
        <v>1150</v>
      </c>
      <c r="I37" s="19">
        <v>10.2225341796875</v>
      </c>
    </row>
    <row r="38" ht="14.4" spans="1:19">
      <c r="A38" s="10">
        <f t="shared" si="9"/>
        <v>3150</v>
      </c>
      <c r="B38" s="11">
        <v>3.31</v>
      </c>
      <c r="C38" s="12">
        <f t="shared" si="7"/>
        <v>2.5455322265625</v>
      </c>
      <c r="D38" s="13">
        <v>11</v>
      </c>
      <c r="E38" s="14">
        <f t="shared" si="8"/>
        <v>28.0008544921875</v>
      </c>
      <c r="F38" s="24"/>
      <c r="G38" s="24"/>
      <c r="H38">
        <v>1250</v>
      </c>
      <c r="I38" s="19">
        <v>11.1114501953125</v>
      </c>
    </row>
    <row r="39" ht="14.4" spans="1:19">
      <c r="A39" s="10">
        <f t="shared" si="9"/>
        <v>3250</v>
      </c>
      <c r="B39" s="11">
        <v>3.31</v>
      </c>
      <c r="C39" s="12">
        <f t="shared" si="7"/>
        <v>2.6263427734375</v>
      </c>
      <c r="D39" s="13">
        <v>11</v>
      </c>
      <c r="E39" s="14">
        <f t="shared" si="8"/>
        <v>28.8897705078125</v>
      </c>
      <c r="F39" s="24"/>
      <c r="G39" s="24"/>
      <c r="H39">
        <v>1350</v>
      </c>
      <c r="I39" s="19">
        <v>12.0003662109375</v>
      </c>
    </row>
    <row r="40" ht="14.4" spans="1:19">
      <c r="A40" s="10">
        <f t="shared" si="9"/>
        <v>3350</v>
      </c>
      <c r="B40" s="11">
        <v>3.31</v>
      </c>
      <c r="C40" s="12">
        <f t="shared" si="7"/>
        <v>2.7071533203125</v>
      </c>
      <c r="D40" s="13">
        <v>11</v>
      </c>
      <c r="E40" s="14">
        <f t="shared" si="8"/>
        <v>29.7786865234375</v>
      </c>
      <c r="F40" s="24"/>
      <c r="G40" s="24"/>
      <c r="H40">
        <v>1450</v>
      </c>
      <c r="I40" s="19">
        <v>12.8892822265625</v>
      </c>
    </row>
    <row r="41" ht="13.65" spans="1:19">
      <c r="H41">
        <v>1550</v>
      </c>
      <c r="I41" s="19">
        <v>13.7781982421875</v>
      </c>
    </row>
    <row r="42" spans="1:19">
      <c r="H42">
        <v>1650</v>
      </c>
      <c r="I42" s="19">
        <v>14.6671142578125</v>
      </c>
    </row>
    <row r="43" spans="1:19">
      <c r="H43">
        <v>1750</v>
      </c>
      <c r="I43" s="19">
        <v>15.5560302734375</v>
      </c>
    </row>
    <row r="44" spans="1:19">
      <c r="A44" s="25" t="s">
        <v>24</v>
      </c>
      <c r="B44" s="25" t="s">
        <v>25</v>
      </c>
      <c r="C44" s="25" t="s">
        <v>26</v>
      </c>
    </row>
    <row r="45" spans="1:19">
      <c r="A45" s="26" t="s">
        <v>27</v>
      </c>
      <c r="B45" s="26" t="s">
        <v>28</v>
      </c>
      <c r="C45" s="26" t="s">
        <v>29</v>
      </c>
    </row>
    <row r="46" spans="1:19">
      <c r="A46" s="26" t="s">
        <v>30</v>
      </c>
      <c r="B46" s="26" t="s">
        <v>31</v>
      </c>
      <c r="C46" s="26" t="s">
        <v>32</v>
      </c>
    </row>
    <row r="47" spans="1:19">
      <c r="A47" s="25" t="s">
        <v>33</v>
      </c>
      <c r="B47" s="25" t="s">
        <v>34</v>
      </c>
      <c r="C47" s="25" t="s">
        <v>35</v>
      </c>
    </row>
    <row r="48" spans="1:19">
      <c r="A48" s="25" t="s">
        <v>36</v>
      </c>
      <c r="B48" s="25" t="s">
        <v>37</v>
      </c>
      <c r="C48" s="25" t="s">
        <v>38</v>
      </c>
    </row>
    <row r="49" spans="1:3">
      <c r="A49" s="25" t="s">
        <v>39</v>
      </c>
      <c r="B49" s="25" t="s">
        <v>40</v>
      </c>
      <c r="C49" s="25" t="s">
        <v>41</v>
      </c>
    </row>
    <row r="50" spans="1:3">
      <c r="A50" s="27" t="s">
        <v>42</v>
      </c>
      <c r="B50" s="27" t="s">
        <v>43</v>
      </c>
      <c r="C50" s="27" t="s">
        <v>44</v>
      </c>
    </row>
    <row r="51" spans="1:3">
      <c r="A51" s="28" t="s">
        <v>45</v>
      </c>
      <c r="B51" s="28" t="s">
        <v>46</v>
      </c>
      <c r="C51" s="28" t="s">
        <v>47</v>
      </c>
    </row>
    <row r="52" spans="1:3">
      <c r="A52" s="28" t="s">
        <v>48</v>
      </c>
      <c r="B52" s="28" t="s">
        <v>49</v>
      </c>
      <c r="C52" s="28" t="s">
        <v>50</v>
      </c>
    </row>
    <row r="53" spans="1:3">
      <c r="A53" s="28" t="s">
        <v>51</v>
      </c>
      <c r="B53" s="28" t="s">
        <v>52</v>
      </c>
      <c r="C53" s="28" t="s">
        <v>35</v>
      </c>
    </row>
    <row r="54" spans="1:3">
      <c r="A54" s="29" t="s">
        <v>53</v>
      </c>
      <c r="B54" s="29" t="s">
        <v>54</v>
      </c>
      <c r="C54" s="29" t="s">
        <v>35</v>
      </c>
    </row>
    <row r="55" spans="1:3">
      <c r="A55" s="29" t="s">
        <v>55</v>
      </c>
      <c r="B55" s="29" t="s">
        <v>56</v>
      </c>
      <c r="C55" s="29" t="s">
        <v>35</v>
      </c>
    </row>
    <row r="56" spans="1:3">
      <c r="A56" s="29" t="s">
        <v>57</v>
      </c>
      <c r="B56" s="29" t="s">
        <v>58</v>
      </c>
      <c r="C56" s="29" t="s">
        <v>35</v>
      </c>
    </row>
    <row r="57" spans="1:3">
      <c r="A57" s="29" t="s">
        <v>59</v>
      </c>
      <c r="B57" s="29" t="s">
        <v>60</v>
      </c>
      <c r="C57" s="29" t="s">
        <v>35</v>
      </c>
    </row>
    <row r="58" spans="1:3">
      <c r="A58" s="29" t="s">
        <v>61</v>
      </c>
      <c r="B58" s="29" t="s">
        <v>62</v>
      </c>
      <c r="C58" s="29" t="s">
        <v>35</v>
      </c>
    </row>
    <row r="59" spans="1:3">
      <c r="A59" s="29" t="s">
        <v>63</v>
      </c>
      <c r="B59" s="29" t="s">
        <v>64</v>
      </c>
      <c r="C59" s="29" t="s">
        <v>35</v>
      </c>
    </row>
    <row r="60" spans="1:3">
      <c r="A60" s="30" t="s">
        <v>65</v>
      </c>
      <c r="B60" s="30" t="s">
        <v>66</v>
      </c>
      <c r="C60" s="30" t="s">
        <v>67</v>
      </c>
    </row>
    <row r="61" spans="1:3">
      <c r="A61" s="30" t="s">
        <v>68</v>
      </c>
      <c r="B61" s="30" t="s">
        <v>69</v>
      </c>
      <c r="C61" s="30" t="s">
        <v>67</v>
      </c>
    </row>
    <row r="62" spans="1:3">
      <c r="A62" s="30" t="s">
        <v>70</v>
      </c>
      <c r="B62" s="30" t="s">
        <v>71</v>
      </c>
      <c r="C62" s="30" t="s">
        <v>67</v>
      </c>
    </row>
  </sheetData>
  <mergeCells count="3">
    <mergeCell ref="A1:F1"/>
    <mergeCell ref="A5:F5"/>
    <mergeCell ref="K5:S5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wan20</dc:creator>
  <cp:lastModifiedBy>无言尽语</cp:lastModifiedBy>
  <dcterms:created xsi:type="dcterms:W3CDTF">2026-03-13T08:13:00Z</dcterms:created>
  <dcterms:modified xsi:type="dcterms:W3CDTF">2026-03-31T11:50:26Z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2C644F21F80C484296B1DC59E25EA857_11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